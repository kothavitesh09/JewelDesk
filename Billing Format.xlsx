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3">
    <numFmt numFmtId="164" formatCode="_ * #,##0_ ;_ * \-#,##0_ ;_ * &quot;-&quot;_ ;_ @_ "/>
    <numFmt numFmtId="165" formatCode="_ * #,##0.00_ ;_ * \-#,##0.00_ ;_ * &quot;-&quot;_ ;_ @_ "/>
    <numFmt numFmtId="166" formatCode="0.000"/>
  </numFmts>
  <fonts count="14">
    <font>
      <name val="Times New Roman"/>
      <charset val="204"/>
      <color rgb="FF000000"/>
      <sz val="10"/>
    </font>
    <font>
      <name val="Times New Roman"/>
      <charset val="204"/>
      <color rgb="FF000000"/>
      <sz val="10"/>
    </font>
    <font>
      <name val="Arial"/>
      <family val="2"/>
      <color rgb="FF000000"/>
      <sz val="10"/>
    </font>
    <font>
      <name val="Arial"/>
      <family val="2"/>
      <color rgb="FF000000"/>
      <sz val="12"/>
    </font>
    <font>
      <name val="Arial"/>
      <family val="2"/>
      <b val="1"/>
      <color rgb="FF000000"/>
      <sz val="12"/>
    </font>
    <font>
      <name val="Arial"/>
      <family val="2"/>
      <color rgb="FF000000"/>
      <sz val="12"/>
      <u val="single"/>
    </font>
    <font>
      <name val="Arial"/>
      <family val="2"/>
      <color rgb="FF000000"/>
      <sz val="11"/>
    </font>
    <font>
      <name val="Arial"/>
      <family val="2"/>
      <b val="1"/>
      <color rgb="FF000000"/>
      <sz val="9"/>
    </font>
    <font>
      <name val="Arial"/>
      <family val="2"/>
      <b val="1"/>
      <color rgb="FF000000"/>
      <sz val="10"/>
    </font>
    <font>
      <name val="Arial"/>
      <family val="2"/>
      <color rgb="FF000000"/>
      <sz val="9.5"/>
    </font>
    <font>
      <name val="Arial"/>
      <family val="2"/>
      <b val="1"/>
      <color rgb="FF000000"/>
      <sz val="11"/>
    </font>
    <font>
      <name val="Times New Roman"/>
      <family val="1"/>
      <color rgb="FF000000"/>
      <sz val="12"/>
    </font>
    <font>
      <name val="Arial"/>
      <family val="2"/>
      <color rgb="FF000000"/>
      <sz val="14"/>
    </font>
    <font>
      <name val="Arial"/>
      <family val="2"/>
      <color rgb="FF000000"/>
      <sz val="9"/>
    </font>
  </fonts>
  <fills count="2">
    <fill>
      <patternFill/>
    </fill>
    <fill>
      <patternFill patternType="gray125"/>
    </fill>
  </fills>
  <borders count="17">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1" fillId="0" borderId="0"/>
    <xf numFmtId="43" fontId="1" fillId="0" borderId="0"/>
  </cellStyleXfs>
  <cellXfs count="137">
    <xf numFmtId="0" fontId="0" fillId="0" borderId="0" applyAlignment="1" pivotButton="0" quotePrefix="0" xfId="0">
      <alignment horizontal="left" vertical="top"/>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3" fillId="0" borderId="7" applyAlignment="1" pivotButton="0" quotePrefix="0" xfId="0">
      <alignment horizontal="left" vertical="center"/>
    </xf>
    <xf numFmtId="0" fontId="3" fillId="0" borderId="8" applyAlignment="1" pivotButton="0" quotePrefix="0" xfId="0">
      <alignment horizontal="left" vertical="center"/>
    </xf>
    <xf numFmtId="0" fontId="3" fillId="0" borderId="4" applyAlignment="1" pivotButton="0" quotePrefix="0" xfId="0">
      <alignment horizontal="left" vertical="center"/>
    </xf>
    <xf numFmtId="0" fontId="3" fillId="0" borderId="6" applyAlignment="1" pivotButton="0" quotePrefix="0" xfId="0">
      <alignment horizontal="left" vertical="center"/>
    </xf>
    <xf numFmtId="0" fontId="3" fillId="0" borderId="9" applyAlignment="1" pivotButton="0" quotePrefix="0" xfId="0">
      <alignment horizontal="center" vertical="center"/>
    </xf>
    <xf numFmtId="0" fontId="3" fillId="0" borderId="10" applyAlignment="1" pivotButton="0" quotePrefix="0" xfId="0">
      <alignment horizontal="center" vertical="center"/>
    </xf>
    <xf numFmtId="0" fontId="3" fillId="0" borderId="9" applyAlignment="1" pivotButton="0" quotePrefix="0" xfId="0">
      <alignment vertical="center"/>
    </xf>
    <xf numFmtId="0" fontId="3" fillId="0" borderId="10" applyAlignment="1" pivotButton="0" quotePrefix="0" xfId="0">
      <alignment vertical="center"/>
    </xf>
    <xf numFmtId="0" fontId="5" fillId="0" borderId="10" applyAlignment="1" pivotButton="0" quotePrefix="0" xfId="0">
      <alignment vertical="center"/>
    </xf>
    <xf numFmtId="2" fontId="3" fillId="0" borderId="9" applyAlignment="1" pivotButton="0" quotePrefix="0" xfId="0">
      <alignment horizontal="right" vertical="center"/>
    </xf>
    <xf numFmtId="2" fontId="3" fillId="0" borderId="10" applyAlignment="1" pivotButton="0" quotePrefix="0" xfId="0">
      <alignment horizontal="right" vertical="center"/>
    </xf>
    <xf numFmtId="0" fontId="8" fillId="0" borderId="8" applyAlignment="1" pivotButton="0" quotePrefix="0" xfId="0">
      <alignment horizontal="left"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0" fontId="3" fillId="0" borderId="13" applyAlignment="1" pivotButton="0" quotePrefix="0" xfId="0">
      <alignment vertical="center"/>
    </xf>
    <xf numFmtId="0" fontId="3" fillId="0" borderId="13" applyAlignment="1" pivotButton="0" quotePrefix="0" xfId="0">
      <alignment horizontal="center" vertical="center"/>
    </xf>
    <xf numFmtId="2" fontId="3" fillId="0" borderId="13" applyAlignment="1" pivotButton="0" quotePrefix="0" xfId="0">
      <alignment horizontal="right" vertical="center"/>
    </xf>
    <xf numFmtId="164" fontId="3" fillId="0" borderId="13" applyAlignment="1" pivotButton="0" quotePrefix="0" xfId="0">
      <alignment horizontal="center" vertical="center"/>
    </xf>
    <xf numFmtId="165" fontId="3" fillId="0" borderId="10" applyAlignment="1" pivotButton="0" quotePrefix="0" xfId="0">
      <alignment horizontal="right" vertical="center"/>
    </xf>
    <xf numFmtId="165" fontId="4" fillId="0" borderId="11" applyAlignment="1" pivotButton="0" quotePrefix="0" xfId="0">
      <alignment horizontal="right" vertical="center"/>
    </xf>
    <xf numFmtId="0" fontId="6" fillId="0" borderId="14" applyAlignment="1" pivotButton="0" quotePrefix="0" xfId="0">
      <alignment horizontal="center" vertical="center"/>
    </xf>
    <xf numFmtId="0" fontId="6" fillId="0" borderId="14" applyAlignment="1" pivotButton="0" quotePrefix="0" xfId="0">
      <alignment horizontal="center" vertical="center" wrapText="1"/>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6" fillId="0" borderId="7" applyAlignment="1" pivotButton="0" quotePrefix="0" xfId="0">
      <alignment horizontal="center" vertical="center"/>
    </xf>
    <xf numFmtId="0" fontId="6" fillId="0" borderId="8" applyAlignment="1" pivotButton="0" quotePrefix="0" xfId="0">
      <alignment horizontal="center" vertical="center"/>
    </xf>
    <xf numFmtId="165" fontId="3" fillId="0" borderId="9" applyAlignment="1" pivotButton="0" quotePrefix="0" xfId="1">
      <alignment horizontal="right" vertical="center"/>
    </xf>
    <xf numFmtId="165" fontId="3" fillId="0" borderId="10" applyAlignment="1" pivotButton="0" quotePrefix="0" xfId="1">
      <alignment horizontal="right" vertical="center"/>
    </xf>
    <xf numFmtId="165" fontId="3" fillId="0" borderId="15" applyAlignment="1" pivotButton="0" quotePrefix="0" xfId="1">
      <alignment horizontal="right" vertical="center"/>
    </xf>
    <xf numFmtId="165" fontId="6" fillId="0" borderId="9" applyAlignment="1" pivotButton="0" quotePrefix="0" xfId="0">
      <alignment horizontal="right" vertical="center"/>
    </xf>
    <xf numFmtId="164" fontId="3" fillId="0" borderId="10" applyAlignment="1" pivotButton="0" quotePrefix="0" xfId="0">
      <alignment horizontal="right" vertical="center"/>
    </xf>
    <xf numFmtId="0" fontId="5" fillId="0" borderId="10" applyAlignment="1" pivotButton="0" quotePrefix="0" xfId="0">
      <alignment horizontal="center" vertical="center"/>
    </xf>
    <xf numFmtId="166" fontId="3" fillId="0" borderId="9" applyAlignment="1" pivotButton="0" quotePrefix="0" xfId="0">
      <alignment horizontal="right" vertical="center"/>
    </xf>
    <xf numFmtId="166" fontId="3" fillId="0" borderId="10" applyAlignment="1" pivotButton="0" quotePrefix="0" xfId="0">
      <alignment horizontal="right" vertical="center"/>
    </xf>
    <xf numFmtId="0" fontId="11" fillId="0" borderId="0" applyAlignment="1" pivotButton="0" quotePrefix="0" xfId="0">
      <alignment horizontal="left" vertical="top" wrapText="1" indent="2"/>
    </xf>
    <xf numFmtId="0" fontId="2" fillId="0" borderId="7" applyAlignment="1" pivotButton="0" quotePrefix="0" xfId="0">
      <alignment horizontal="right" vertical="center"/>
    </xf>
    <xf numFmtId="0" fontId="2" fillId="0" borderId="8" applyAlignment="1" pivotButton="0" quotePrefix="0" xfId="0">
      <alignment horizontal="right" vertical="center"/>
    </xf>
    <xf numFmtId="0" fontId="2" fillId="0" borderId="4" applyAlignment="1" pivotButton="0" quotePrefix="0" xfId="0">
      <alignment horizontal="right" vertical="center"/>
    </xf>
    <xf numFmtId="0" fontId="2" fillId="0" borderId="6" applyAlignment="1" pivotButton="0" quotePrefix="0" xfId="0">
      <alignment horizontal="right" vertical="center"/>
    </xf>
    <xf numFmtId="0" fontId="3" fillId="0" borderId="0" applyAlignment="1" pivotButton="0" quotePrefix="0" xfId="0">
      <alignment horizontal="center" vertical="center"/>
    </xf>
    <xf numFmtId="0" fontId="12" fillId="0" borderId="0" applyAlignment="1" pivotButton="0" quotePrefix="0" xfId="0">
      <alignment horizontal="center" vertical="center"/>
    </xf>
    <xf numFmtId="0" fontId="13" fillId="0" borderId="1" applyAlignment="1" pivotButton="0" quotePrefix="0" xfId="0">
      <alignment horizontal="left"/>
    </xf>
    <xf numFmtId="0" fontId="13" fillId="0" borderId="2" applyAlignment="1" pivotButton="0" quotePrefix="0" xfId="0">
      <alignment horizontal="left"/>
    </xf>
    <xf numFmtId="0" fontId="13" fillId="0" borderId="3" applyAlignment="1" pivotButton="0" quotePrefix="0" xfId="0">
      <alignment horizontal="left"/>
    </xf>
    <xf numFmtId="0" fontId="13" fillId="0" borderId="7" applyAlignment="1" pivotButton="0" quotePrefix="0" xfId="0">
      <alignment horizontal="left"/>
    </xf>
    <xf numFmtId="0" fontId="13" fillId="0" borderId="0" applyAlignment="1" pivotButton="0" quotePrefix="0" xfId="0">
      <alignment horizontal="left"/>
    </xf>
    <xf numFmtId="0" fontId="13" fillId="0" borderId="8" applyAlignment="1" pivotButton="0" quotePrefix="0" xfId="0">
      <alignment horizontal="left"/>
    </xf>
    <xf numFmtId="0" fontId="13" fillId="0" borderId="4" applyAlignment="1" pivotButton="0" quotePrefix="0" xfId="0">
      <alignment horizontal="left"/>
    </xf>
    <xf numFmtId="0" fontId="13" fillId="0" borderId="5" applyAlignment="1" pivotButton="0" quotePrefix="0" xfId="0">
      <alignment horizontal="left"/>
    </xf>
    <xf numFmtId="0" fontId="13" fillId="0" borderId="6" applyAlignment="1" pivotButton="0" quotePrefix="0" xfId="0">
      <alignment horizontal="left"/>
    </xf>
    <xf numFmtId="0" fontId="7" fillId="0" borderId="12" applyAlignment="1" pivotButton="0" quotePrefix="0" xfId="0">
      <alignment horizontal="left" vertical="center"/>
    </xf>
    <xf numFmtId="0" fontId="7" fillId="0" borderId="13" applyAlignment="1" pivotButton="0" quotePrefix="0" xfId="0">
      <alignment horizontal="left" vertical="center"/>
    </xf>
    <xf numFmtId="0" fontId="2" fillId="0" borderId="5" applyAlignment="1" pivotButton="0" quotePrefix="0" xfId="0">
      <alignment horizontal="left" vertical="center"/>
    </xf>
    <xf numFmtId="0" fontId="2" fillId="0" borderId="6" applyAlignment="1" pivotButton="0" quotePrefix="0" xfId="0">
      <alignment horizontal="left" vertical="center"/>
    </xf>
    <xf numFmtId="0" fontId="6" fillId="0" borderId="7" applyAlignment="1" pivotButton="0" quotePrefix="0" xfId="0">
      <alignment horizontal="right" vertical="center"/>
    </xf>
    <xf numFmtId="0" fontId="6" fillId="0" borderId="0" applyAlignment="1" pivotButton="0" quotePrefix="0" xfId="0">
      <alignment horizontal="right" vertical="center"/>
    </xf>
    <xf numFmtId="0" fontId="6" fillId="0" borderId="8" applyAlignment="1" pivotButton="0" quotePrefix="0" xfId="0">
      <alignment horizontal="right" vertical="center"/>
    </xf>
    <xf numFmtId="0" fontId="10" fillId="0" borderId="4" applyAlignment="1" pivotButton="0" quotePrefix="0" xfId="0">
      <alignment horizontal="right" vertical="center"/>
    </xf>
    <xf numFmtId="0" fontId="10" fillId="0" borderId="5" applyAlignment="1" pivotButton="0" quotePrefix="0" xfId="0">
      <alignment horizontal="right" vertical="center"/>
    </xf>
    <xf numFmtId="0" fontId="10" fillId="0" borderId="6" applyAlignment="1" pivotButton="0" quotePrefix="0" xfId="0">
      <alignment horizontal="right" vertical="center"/>
    </xf>
    <xf numFmtId="0" fontId="6" fillId="0" borderId="1" applyAlignment="1" pivotButton="0" quotePrefix="0" xfId="0">
      <alignment horizontal="left" vertical="center"/>
    </xf>
    <xf numFmtId="0" fontId="6" fillId="0" borderId="2" applyAlignment="1" pivotButton="0" quotePrefix="0" xfId="0">
      <alignment horizontal="left" vertical="center"/>
    </xf>
    <xf numFmtId="0" fontId="6" fillId="0" borderId="3" applyAlignment="1" pivotButton="0" quotePrefix="0" xfId="0">
      <alignment horizontal="left" vertical="center"/>
    </xf>
    <xf numFmtId="0" fontId="6" fillId="0" borderId="7" applyAlignment="1" pivotButton="0" quotePrefix="0" xfId="0">
      <alignment horizontal="left" vertical="center"/>
    </xf>
    <xf numFmtId="0" fontId="6" fillId="0" borderId="0" applyAlignment="1" pivotButton="0" quotePrefix="0" xfId="0">
      <alignment horizontal="left" vertical="center"/>
    </xf>
    <xf numFmtId="0" fontId="6" fillId="0" borderId="8" applyAlignment="1" pivotButton="0" quotePrefix="0" xfId="0">
      <alignment horizontal="left" vertical="center"/>
    </xf>
    <xf numFmtId="0" fontId="2" fillId="0" borderId="1" applyAlignment="1" pivotButton="0" quotePrefix="0" xfId="0">
      <alignment horizontal="right" vertical="center"/>
    </xf>
    <xf numFmtId="0" fontId="2" fillId="0" borderId="3" applyAlignment="1" pivotButton="0" quotePrefix="0" xfId="0">
      <alignment horizontal="right" vertical="center"/>
    </xf>
    <xf numFmtId="0" fontId="6" fillId="0" borderId="4"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9" fillId="0" borderId="1" applyAlignment="1" pivotButton="0" quotePrefix="0" xfId="0">
      <alignment horizontal="center" vertical="center"/>
    </xf>
    <xf numFmtId="0" fontId="9" fillId="0" borderId="2" applyAlignment="1" pivotButton="0" quotePrefix="0" xfId="0">
      <alignment horizontal="center" vertical="center"/>
    </xf>
    <xf numFmtId="0" fontId="9" fillId="0" borderId="3" applyAlignment="1" pivotButton="0" quotePrefix="0" xfId="0">
      <alignment horizontal="center" vertical="center"/>
    </xf>
    <xf numFmtId="0" fontId="4" fillId="0" borderId="7" applyAlignment="1" pivotButton="0" quotePrefix="0" xfId="0">
      <alignment horizontal="center" vertical="center"/>
    </xf>
    <xf numFmtId="0" fontId="4" fillId="0" borderId="0" applyAlignment="1" pivotButton="0" quotePrefix="0" xfId="0">
      <alignment horizontal="center" vertical="center"/>
    </xf>
    <xf numFmtId="0" fontId="4" fillId="0" borderId="8" applyAlignment="1" pivotButton="0" quotePrefix="0" xfId="0">
      <alignment horizontal="center" vertical="center"/>
    </xf>
    <xf numFmtId="0" fontId="3" fillId="0" borderId="7" applyAlignment="1" pivotButton="0" quotePrefix="0" xfId="0">
      <alignment horizontal="left" vertical="center"/>
    </xf>
    <xf numFmtId="0" fontId="3" fillId="0" borderId="0" applyAlignment="1" pivotButton="0" quotePrefix="0" xfId="0">
      <alignment horizontal="left" vertical="center"/>
    </xf>
    <xf numFmtId="0" fontId="3" fillId="0" borderId="8" applyAlignment="1" pivotButton="0" quotePrefix="0" xfId="0">
      <alignment horizontal="left" vertical="center"/>
    </xf>
    <xf numFmtId="0" fontId="3" fillId="0" borderId="4" applyAlignment="1" pivotButton="0" quotePrefix="0" xfId="0">
      <alignment horizontal="center" vertical="center"/>
    </xf>
    <xf numFmtId="0" fontId="3" fillId="0" borderId="5" applyAlignment="1" pivotButton="0" quotePrefix="0" xfId="0">
      <alignment horizontal="center" vertical="center"/>
    </xf>
    <xf numFmtId="0" fontId="3" fillId="0" borderId="6" applyAlignment="1" pivotButton="0" quotePrefix="0" xfId="0">
      <alignment horizontal="center" vertical="center"/>
    </xf>
    <xf numFmtId="0" fontId="6" fillId="0" borderId="0" applyAlignment="1" pivotButton="0" quotePrefix="0" xfId="0">
      <alignment horizontal="center" vertical="center"/>
    </xf>
    <xf numFmtId="0" fontId="6" fillId="0" borderId="8" applyAlignment="1" pivotButton="0" quotePrefix="0" xfId="0">
      <alignment horizontal="center" vertical="center"/>
    </xf>
    <xf numFmtId="0" fontId="3" fillId="0" borderId="7" applyAlignment="1" pivotButton="0" quotePrefix="0" xfId="0">
      <alignment horizontal="right" vertical="center"/>
    </xf>
    <xf numFmtId="0" fontId="3" fillId="0" borderId="8" applyAlignment="1" pivotButton="0" quotePrefix="0" xfId="0">
      <alignment horizontal="right" vertical="center"/>
    </xf>
    <xf numFmtId="0" fontId="6" fillId="0" borderId="4" applyAlignment="1" pivotButton="0" quotePrefix="0" xfId="0">
      <alignment horizontal="left" vertical="center"/>
    </xf>
    <xf numFmtId="0" fontId="6" fillId="0" borderId="5" applyAlignment="1" pivotButton="0" quotePrefix="0" xfId="0">
      <alignment horizontal="left" vertical="center"/>
    </xf>
    <xf numFmtId="0" fontId="6" fillId="0" borderId="6" applyAlignment="1" pivotButton="0" quotePrefix="0" xfId="0">
      <alignment horizontal="left" vertical="center"/>
    </xf>
    <xf numFmtId="0" fontId="6" fillId="0" borderId="12" applyAlignment="1" pivotButton="0" quotePrefix="0" xfId="0">
      <alignment horizontal="left" vertical="center"/>
    </xf>
    <xf numFmtId="0" fontId="6" fillId="0" borderId="13" applyAlignment="1" pivotButton="0" quotePrefix="0" xfId="0">
      <alignment horizontal="left" vertical="center"/>
    </xf>
    <xf numFmtId="0" fontId="10" fillId="0" borderId="1" applyAlignment="1" pivotButton="0" quotePrefix="0" xfId="0">
      <alignment horizontal="right" vertical="center"/>
    </xf>
    <xf numFmtId="0" fontId="10" fillId="0" borderId="2" applyAlignment="1" pivotButton="0" quotePrefix="0" xfId="0">
      <alignment horizontal="right" vertical="center"/>
    </xf>
    <xf numFmtId="0" fontId="10" fillId="0" borderId="3" applyAlignment="1" pivotButton="0" quotePrefix="0" xfId="0">
      <alignment horizontal="right" vertical="center"/>
    </xf>
    <xf numFmtId="0" fontId="2" fillId="0" borderId="1" applyAlignment="1" pivotButton="0" quotePrefix="0" xfId="0">
      <alignment horizontal="left" vertical="center"/>
    </xf>
    <xf numFmtId="0" fontId="2" fillId="0" borderId="3" applyAlignment="1" pivotButton="0" quotePrefix="0" xfId="0">
      <alignment horizontal="left" vertical="center"/>
    </xf>
    <xf numFmtId="0" fontId="0" fillId="0" borderId="0" pivotButton="0" quotePrefix="0" xfId="0"/>
    <xf numFmtId="0" fontId="13" fillId="0" borderId="14" applyAlignment="1" pivotButton="0" quotePrefix="0" xfId="0">
      <alignment horizontal="left"/>
    </xf>
    <xf numFmtId="0" fontId="0" fillId="0" borderId="2" pivotButton="0" quotePrefix="0" xfId="0"/>
    <xf numFmtId="0" fontId="0" fillId="0" borderId="3" pivotButton="0" quotePrefix="0" xfId="0"/>
    <xf numFmtId="0" fontId="2" fillId="0" borderId="9" applyAlignment="1" pivotButton="0" quotePrefix="0" xfId="0">
      <alignment horizontal="right" vertical="center"/>
    </xf>
    <xf numFmtId="0" fontId="0" fillId="0" borderId="7" pivotButton="0" quotePrefix="0" xfId="0"/>
    <xf numFmtId="0" fontId="0" fillId="0" borderId="8" pivotButton="0" quotePrefix="0" xfId="0"/>
    <xf numFmtId="0" fontId="2" fillId="0" borderId="10" applyAlignment="1" pivotButton="0" quotePrefix="0" xfId="0">
      <alignment horizontal="right" vertical="center"/>
    </xf>
    <xf numFmtId="0" fontId="3" fillId="0" borderId="10" applyAlignment="1" pivotButton="0" quotePrefix="0" xfId="0">
      <alignment horizontal="right" vertical="center"/>
    </xf>
    <xf numFmtId="0" fontId="0" fillId="0" borderId="4" pivotButton="0" quotePrefix="0" xfId="0"/>
    <xf numFmtId="0" fontId="0" fillId="0" borderId="5" pivotButton="0" quotePrefix="0" xfId="0"/>
    <xf numFmtId="0" fontId="0" fillId="0" borderId="6" pivotButton="0" quotePrefix="0" xfId="0"/>
    <xf numFmtId="0" fontId="2" fillId="0" borderId="16" applyAlignment="1" pivotButton="0" quotePrefix="0" xfId="0">
      <alignment horizontal="right" vertical="center"/>
    </xf>
    <xf numFmtId="0" fontId="6" fillId="0" borderId="9" applyAlignment="1" pivotButton="0" quotePrefix="0" xfId="0">
      <alignment horizontal="left" vertical="center"/>
    </xf>
    <xf numFmtId="0" fontId="2" fillId="0" borderId="9" applyAlignment="1" pivotButton="0" quotePrefix="0" xfId="0">
      <alignment horizontal="left" vertical="center"/>
    </xf>
    <xf numFmtId="0" fontId="6" fillId="0" borderId="10" applyAlignment="1" pivotButton="0" quotePrefix="0" xfId="0">
      <alignment horizontal="left" vertical="center"/>
    </xf>
    <xf numFmtId="0" fontId="6" fillId="0" borderId="16" applyAlignment="1" pivotButton="0" quotePrefix="0" xfId="0">
      <alignment horizontal="left" vertical="center"/>
    </xf>
    <xf numFmtId="166" fontId="3" fillId="0" borderId="9" applyAlignment="1" pivotButton="0" quotePrefix="0" xfId="0">
      <alignment horizontal="right" vertical="center"/>
    </xf>
    <xf numFmtId="165" fontId="6" fillId="0" borderId="9" applyAlignment="1" pivotButton="0" quotePrefix="0" xfId="0">
      <alignment horizontal="right" vertical="center"/>
    </xf>
    <xf numFmtId="165" fontId="3" fillId="0" borderId="9" applyAlignment="1" pivotButton="0" quotePrefix="0" xfId="1">
      <alignment horizontal="right" vertical="center"/>
    </xf>
    <xf numFmtId="166" fontId="3" fillId="0" borderId="10" applyAlignment="1" pivotButton="0" quotePrefix="0" xfId="0">
      <alignment horizontal="right" vertical="center"/>
    </xf>
    <xf numFmtId="164" fontId="3" fillId="0" borderId="10" applyAlignment="1" pivotButton="0" quotePrefix="0" xfId="0">
      <alignment horizontal="right" vertical="center"/>
    </xf>
    <xf numFmtId="165" fontId="3" fillId="0" borderId="10" applyAlignment="1" pivotButton="0" quotePrefix="0" xfId="1">
      <alignment horizontal="right" vertical="center"/>
    </xf>
    <xf numFmtId="0" fontId="0" fillId="0" borderId="13" pivotButton="0" quotePrefix="0" xfId="0"/>
    <xf numFmtId="164" fontId="3" fillId="0" borderId="13" applyAlignment="1" pivotButton="0" quotePrefix="0" xfId="0">
      <alignment horizontal="center" vertical="center"/>
    </xf>
    <xf numFmtId="165" fontId="3" fillId="0" borderId="15" applyAlignment="1" pivotButton="0" quotePrefix="0" xfId="1">
      <alignment horizontal="right" vertical="center"/>
    </xf>
    <xf numFmtId="0" fontId="10" fillId="0" borderId="9" applyAlignment="1" pivotButton="0" quotePrefix="0" xfId="0">
      <alignment horizontal="right" vertical="center"/>
    </xf>
    <xf numFmtId="165" fontId="3" fillId="0" borderId="10" applyAlignment="1" pivotButton="0" quotePrefix="0" xfId="0">
      <alignment horizontal="right" vertical="center"/>
    </xf>
    <xf numFmtId="0" fontId="6" fillId="0" borderId="10" applyAlignment="1" pivotButton="0" quotePrefix="0" xfId="0">
      <alignment horizontal="right" vertical="center"/>
    </xf>
    <xf numFmtId="0" fontId="10" fillId="0" borderId="16" applyAlignment="1" pivotButton="0" quotePrefix="0" xfId="0">
      <alignment horizontal="right" vertical="center"/>
    </xf>
    <xf numFmtId="165" fontId="4" fillId="0" borderId="11" applyAlignment="1" pivotButton="0" quotePrefix="0" xfId="0">
      <alignment horizontal="right" vertical="center"/>
    </xf>
    <xf numFmtId="0" fontId="9" fillId="0" borderId="9" applyAlignment="1" pivotButton="0" quotePrefix="0" xfId="0">
      <alignment horizontal="center" vertical="center"/>
    </xf>
    <xf numFmtId="0" fontId="4" fillId="0" borderId="10" applyAlignment="1" pivotButton="0" quotePrefix="0" xfId="0">
      <alignment horizontal="center" vertical="center"/>
    </xf>
    <xf numFmtId="0" fontId="3" fillId="0" borderId="10" applyAlignment="1" pivotButton="0" quotePrefix="0" xfId="0">
      <alignment horizontal="left" vertical="center"/>
    </xf>
    <xf numFmtId="0" fontId="6" fillId="0" borderId="16" applyAlignment="1" pivotButton="0" quotePrefix="0" xfId="0">
      <alignment horizontal="center" vertical="center"/>
    </xf>
    <xf numFmtId="0" fontId="3" fillId="0" borderId="16" applyAlignment="1" pivotButton="0" quotePrefix="0" xfId="0">
      <alignment horizontal="center" vertical="center"/>
    </xf>
  </cellXfs>
  <cellStyles count="2">
    <cellStyle name="Normal" xfId="0" builtinId="0"/>
    <cellStyle name="Comma" xfId="1" builtin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s>
</file>

<file path=xl/drawings/drawing1.xml><?xml version="1.0" encoding="utf-8"?>
<wsDr xmlns="http://schemas.openxmlformats.org/drawingml/2006/spreadsheetDrawing">
  <twoCellAnchor editAs="oneCell">
    <from>
      <col>0</col>
      <colOff>101838</colOff>
      <row>0</row>
      <rowOff>68057</rowOff>
    </from>
    <to>
      <col>1</col>
      <colOff>441934</colOff>
      <row>4</row>
      <rowOff>173726</rowOff>
    </to>
    <pic>
      <nvPicPr>
        <cNvPr id="4" name="Picture 3"/>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1"/>
        <a:srcRect xmlns:a="http://schemas.openxmlformats.org/drawingml/2006/main" l="42261" t="17996" r="42304" b="54714"/>
        <a:stretch xmlns:a="http://schemas.openxmlformats.org/drawingml/2006/main">
          <a:fillRect/>
        </a:stretch>
      </blipFill>
      <spPr bwMode="auto">
        <a:xfrm xmlns:a="http://schemas.openxmlformats.org/drawingml/2006/main">
          <a:off x="101838" y="68057"/>
          <a:ext cx="586320" cy="1012812"/>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1</col>
      <colOff>639389</colOff>
      <row>0</row>
      <rowOff>95848</rowOff>
    </from>
    <to>
      <col>7</col>
      <colOff>142311</colOff>
      <row>4</row>
      <rowOff>143774</rowOff>
    </to>
    <pic>
      <nvPicPr>
        <cNvPr id="5" name="Picture 4"/>
        <cNvPicPr>
          <a:picLocks xmlns:a="http://schemas.openxmlformats.org/drawingml/2006/main" noChangeAspect="1"/>
        </cNvPicPr>
      </nvPicPr>
      <blipFill rotWithShape="1">
        <a:blip xmlns:a="http://schemas.openxmlformats.org/drawingml/2006/main" xmlns:r="http://schemas.openxmlformats.org/officeDocument/2006/relationships" r:embed="rId2"/>
        <a:srcRect xmlns:a="http://schemas.openxmlformats.org/drawingml/2006/main" t="10175" b="5519"/>
        <a:stretch xmlns:a="http://schemas.openxmlformats.org/drawingml/2006/main">
          <a:fillRect/>
        </a:stretch>
      </blipFill>
      <spPr>
        <a:xfrm xmlns:a="http://schemas.openxmlformats.org/drawingml/2006/main">
          <a:off x="885002" y="95848"/>
          <a:ext cx="3261818" cy="958492"/>
        </a:xfrm>
        <a:prstGeom xmlns:a="http://schemas.openxmlformats.org/drawingml/2006/main" prst="rect">
          <avLst/>
        </a:prstGeom>
        <a:ln xmlns:a="http://schemas.openxmlformats.org/drawingml/2006/main">
          <a:prstDash val="solid"/>
        </a:ln>
      </spPr>
    </pic>
    <clientData/>
  </twoCellAnchor>
  <twoCellAnchor editAs="oneCell">
    <from>
      <col>1</col>
      <colOff>243025</colOff>
      <row>40</row>
      <rowOff>47037</rowOff>
    </from>
    <to>
      <col>1</col>
      <colOff>833985</colOff>
      <row>44</row>
      <rowOff>44742</rowOff>
    </to>
    <pic>
      <nvPicPr>
        <cNvPr id="2" name="Picture 1"/>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3"/>
        <a:srcRect xmlns:a="http://schemas.openxmlformats.org/drawingml/2006/main" l="42261" t="17996" r="42304" b="57600"/>
        <a:stretch xmlns:a="http://schemas.openxmlformats.org/drawingml/2006/main">
          <a:fillRect/>
        </a:stretch>
      </blipFill>
      <spPr bwMode="auto">
        <a:xfrm xmlns:a="http://schemas.openxmlformats.org/drawingml/2006/main">
          <a:off x="490830" y="9525574"/>
          <a:ext cx="590960" cy="913206"/>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O74"/>
  <sheetViews>
    <sheetView tabSelected="1" topLeftCell="A18" zoomScale="98" zoomScaleNormal="98" workbookViewId="0">
      <selection activeCell="J26" sqref="J26"/>
    </sheetView>
  </sheetViews>
  <sheetFormatPr baseColWidth="8" defaultColWidth="9.296875" defaultRowHeight="18" customHeight="1"/>
  <cols>
    <col width="3.8984375" bestFit="1" customWidth="1" style="82" min="1" max="1"/>
    <col width="16.69921875" customWidth="1" style="82" min="2" max="2"/>
    <col width="6.19921875" customWidth="1" style="82" min="3" max="3"/>
    <col width="9.69921875" customWidth="1" style="82" min="4" max="4"/>
    <col width="8.69921875" customWidth="1" style="82" min="5" max="5"/>
    <col width="9.19921875" customWidth="1" style="82" min="6" max="6"/>
    <col width="8.796875" customWidth="1" style="82" min="7" max="7"/>
    <col width="11.69921875" customWidth="1" style="82" min="8" max="8"/>
    <col width="12.5" customWidth="1" style="82" min="9" max="9"/>
    <col width="14.8984375" customWidth="1" style="82" min="10" max="10"/>
    <col width="9.296875" customWidth="1" style="82" min="11" max="16384"/>
  </cols>
  <sheetData>
    <row r="1" ht="18" customHeight="1" s="101">
      <c r="A1" s="102" t="n"/>
      <c r="B1" s="103" t="n"/>
      <c r="C1" s="103" t="n"/>
      <c r="D1" s="103" t="n"/>
      <c r="E1" s="103" t="n"/>
      <c r="F1" s="103" t="n"/>
      <c r="G1" s="103" t="n"/>
      <c r="H1" s="104" t="n"/>
      <c r="I1" s="105" t="inlineStr">
        <is>
          <t># 34-1-16, Temple Street,</t>
        </is>
      </c>
      <c r="J1" s="104" t="n"/>
    </row>
    <row r="2" ht="18" customHeight="1" s="101">
      <c r="A2" s="106" t="n"/>
      <c r="H2" s="107" t="n"/>
      <c r="I2" s="108" t="inlineStr">
        <is>
          <t>Kakinada,</t>
        </is>
      </c>
      <c r="J2" s="107" t="n"/>
    </row>
    <row r="3" ht="18" customHeight="1" s="101">
      <c r="A3" s="106" t="n"/>
      <c r="H3" s="107" t="n"/>
      <c r="I3" s="108" t="inlineStr">
        <is>
          <t>Andhra Pradesh - 533 001.</t>
        </is>
      </c>
      <c r="J3" s="107" t="n"/>
    </row>
    <row r="4" ht="18" customHeight="1" s="101">
      <c r="A4" s="106" t="n"/>
      <c r="H4" s="107" t="n"/>
      <c r="I4" s="109" t="n"/>
      <c r="J4" s="107" t="n"/>
    </row>
    <row r="5" ht="18" customHeight="1" s="101">
      <c r="A5" s="110" t="n"/>
      <c r="B5" s="111" t="n"/>
      <c r="C5" s="111" t="n"/>
      <c r="D5" s="111" t="n"/>
      <c r="E5" s="111" t="n"/>
      <c r="F5" s="111" t="n"/>
      <c r="G5" s="111" t="n"/>
      <c r="H5" s="112" t="n"/>
      <c r="I5" s="113" t="inlineStr">
        <is>
          <t>Phone No : 99082 66688</t>
        </is>
      </c>
      <c r="J5" s="112" t="n"/>
    </row>
    <row r="6" ht="18" customHeight="1" s="101">
      <c r="A6" s="114" t="inlineStr">
        <is>
          <t xml:space="preserve">Name: </t>
        </is>
      </c>
      <c r="B6" s="103" t="n"/>
      <c r="C6" s="103" t="n"/>
      <c r="D6" s="103" t="n"/>
      <c r="E6" s="103" t="n"/>
      <c r="F6" s="103" t="n"/>
      <c r="G6" s="103" t="n"/>
      <c r="H6" s="104" t="n"/>
      <c r="I6" s="115" t="inlineStr">
        <is>
          <t xml:space="preserve">GSTIN: </t>
        </is>
      </c>
      <c r="J6" s="104" t="n"/>
    </row>
    <row r="7" ht="18" customHeight="1" s="101">
      <c r="A7" s="116" t="inlineStr">
        <is>
          <t xml:space="preserve">Address: </t>
        </is>
      </c>
      <c r="H7" s="107" t="n"/>
      <c r="I7" s="68" t="inlineStr">
        <is>
          <t>Bill No:</t>
        </is>
      </c>
      <c r="J7" s="14" t="n"/>
    </row>
    <row r="8" ht="18" customHeight="1" s="101">
      <c r="A8" s="116" t="inlineStr">
        <is>
          <t xml:space="preserve">Phone: </t>
        </is>
      </c>
      <c r="H8" s="107" t="n"/>
      <c r="I8" s="81" t="inlineStr">
        <is>
          <t>Date:</t>
        </is>
      </c>
      <c r="J8" s="83" t="n"/>
    </row>
    <row r="9" ht="18" customHeight="1" s="101">
      <c r="A9" s="117" t="inlineStr">
        <is>
          <t>GSTIN No:</t>
        </is>
      </c>
      <c r="B9" s="111" t="n"/>
      <c r="C9" s="111" t="n"/>
      <c r="D9" s="111" t="n"/>
      <c r="E9" s="111" t="n"/>
      <c r="F9" s="111" t="n"/>
      <c r="G9" s="111" t="n"/>
      <c r="H9" s="112" t="n"/>
      <c r="I9" s="5" t="n"/>
      <c r="J9" s="6" t="n"/>
      <c r="N9" s="0" t="n"/>
    </row>
    <row r="10" ht="36" customFormat="1" customHeight="1" s="43">
      <c r="A10" s="24" t="inlineStr">
        <is>
          <t>Sl.
No</t>
        </is>
      </c>
      <c r="B10" s="23" t="inlineStr">
        <is>
          <t>DESCRIPTION</t>
        </is>
      </c>
      <c r="C10" s="23" t="inlineStr">
        <is>
          <t>QTY</t>
        </is>
      </c>
      <c r="D10" s="24" t="inlineStr">
        <is>
          <t>GR WT</t>
        </is>
      </c>
      <c r="E10" s="24" t="inlineStr">
        <is>
          <t>ST. WT</t>
        </is>
      </c>
      <c r="F10" s="24" t="inlineStr">
        <is>
          <t>NET WT</t>
        </is>
      </c>
      <c r="G10" s="23" t="inlineStr">
        <is>
          <t>VA.</t>
        </is>
      </c>
      <c r="H10" s="23" t="inlineStr">
        <is>
          <t>RATE</t>
        </is>
      </c>
      <c r="I10" s="87" t="inlineStr">
        <is>
          <t>ST AMT</t>
        </is>
      </c>
      <c r="J10" s="24" t="inlineStr">
        <is>
          <t>NET AMT
(Rs.)</t>
        </is>
      </c>
      <c r="O10" s="0" t="n"/>
    </row>
    <row r="11" ht="18" customHeight="1" s="101">
      <c r="A11" s="7" t="n"/>
      <c r="B11" s="9" t="n"/>
      <c r="C11" s="7" t="n"/>
      <c r="D11" s="118" t="n"/>
      <c r="E11" s="118" t="n"/>
      <c r="F11" s="118" t="n"/>
      <c r="G11" s="118" t="n"/>
      <c r="H11" s="12" t="n"/>
      <c r="I11" s="119" t="n"/>
      <c r="J11" s="120" t="n"/>
    </row>
    <row r="12" ht="18" customHeight="1" s="101">
      <c r="A12" s="8" t="n"/>
      <c r="B12" s="10" t="n"/>
      <c r="C12" s="8" t="n"/>
      <c r="D12" s="121" t="n"/>
      <c r="E12" s="121" t="n"/>
      <c r="F12" s="121" t="n"/>
      <c r="G12" s="121" t="n"/>
      <c r="H12" s="13" t="n"/>
      <c r="I12" s="122" t="n"/>
      <c r="J12" s="123" t="n"/>
    </row>
    <row r="13" ht="18" customHeight="1" s="101">
      <c r="A13" s="8" t="n"/>
      <c r="B13" s="10" t="n"/>
      <c r="C13" s="8" t="n"/>
      <c r="D13" s="121" t="n"/>
      <c r="E13" s="121" t="n"/>
      <c r="F13" s="121" t="n"/>
      <c r="G13" s="121" t="n"/>
      <c r="H13" s="13" t="n"/>
      <c r="I13" s="122" t="n"/>
      <c r="J13" s="123" t="n"/>
    </row>
    <row r="14" ht="18" customHeight="1" s="101">
      <c r="A14" s="8" t="n"/>
      <c r="B14" s="10" t="n"/>
      <c r="C14" s="8" t="n"/>
      <c r="D14" s="121" t="n"/>
      <c r="E14" s="121" t="n"/>
      <c r="F14" s="121" t="n"/>
      <c r="G14" s="121" t="n"/>
      <c r="H14" s="13" t="n"/>
      <c r="I14" s="122" t="n"/>
      <c r="J14" s="123" t="n"/>
    </row>
    <row r="15" ht="18" customHeight="1" s="101">
      <c r="A15" s="8" t="n"/>
      <c r="B15" s="10" t="n"/>
      <c r="C15" s="8" t="n"/>
      <c r="D15" s="121" t="n"/>
      <c r="E15" s="121" t="n"/>
      <c r="F15" s="121" t="n"/>
      <c r="G15" s="121" t="n"/>
      <c r="H15" s="13" t="n"/>
      <c r="I15" s="122" t="n"/>
      <c r="J15" s="123" t="n"/>
    </row>
    <row r="16" ht="18" customHeight="1" s="101">
      <c r="A16" s="8" t="n"/>
      <c r="B16" s="10" t="n"/>
      <c r="C16" s="8" t="n"/>
      <c r="D16" s="121" t="n"/>
      <c r="E16" s="121" t="n"/>
      <c r="F16" s="121" t="n"/>
      <c r="G16" s="121" t="n"/>
      <c r="H16" s="13" t="n"/>
      <c r="I16" s="122" t="n"/>
      <c r="J16" s="123" t="n"/>
    </row>
    <row r="17" ht="18" customHeight="1" s="101">
      <c r="A17" s="8" t="n"/>
      <c r="B17" s="10" t="n"/>
      <c r="C17" s="8" t="n"/>
      <c r="D17" s="121" t="n"/>
      <c r="E17" s="121" t="n"/>
      <c r="F17" s="121" t="n"/>
      <c r="G17" s="121" t="n"/>
      <c r="H17" s="13" t="n"/>
      <c r="I17" s="122" t="n"/>
      <c r="J17" s="123" t="n"/>
    </row>
    <row r="18" ht="18" customHeight="1" s="101">
      <c r="A18" s="8" t="n"/>
      <c r="B18" s="10" t="n"/>
      <c r="C18" s="8" t="n"/>
      <c r="D18" s="121" t="n"/>
      <c r="E18" s="121" t="n"/>
      <c r="F18" s="121" t="n"/>
      <c r="G18" s="121" t="n"/>
      <c r="H18" s="13" t="n"/>
      <c r="I18" s="122" t="n"/>
      <c r="J18" s="123" t="n"/>
    </row>
    <row r="19" ht="18" customHeight="1" s="101">
      <c r="A19" s="8" t="n"/>
      <c r="B19" s="10" t="n"/>
      <c r="C19" s="8" t="n"/>
      <c r="D19" s="121" t="n"/>
      <c r="E19" s="121" t="n"/>
      <c r="F19" s="121" t="n"/>
      <c r="G19" s="121" t="n"/>
      <c r="H19" s="13" t="n"/>
      <c r="I19" s="122" t="n"/>
      <c r="J19" s="123" t="n"/>
    </row>
    <row r="20" ht="18" customHeight="1" s="101">
      <c r="A20" s="8" t="n"/>
      <c r="B20" s="10" t="n"/>
      <c r="C20" s="8" t="n"/>
      <c r="D20" s="121" t="n"/>
      <c r="E20" s="121" t="n"/>
      <c r="F20" s="121" t="n"/>
      <c r="G20" s="121" t="n"/>
      <c r="H20" s="13" t="n"/>
      <c r="I20" s="122" t="n"/>
      <c r="J20" s="123" t="n"/>
    </row>
    <row r="21" ht="18" customHeight="1" s="101">
      <c r="A21" s="8" t="n"/>
      <c r="B21" s="10" t="n"/>
      <c r="C21" s="8" t="n"/>
      <c r="D21" s="121" t="n"/>
      <c r="E21" s="121" t="n"/>
      <c r="F21" s="121" t="n"/>
      <c r="G21" s="121" t="n"/>
      <c r="H21" s="13" t="n"/>
      <c r="I21" s="122" t="n"/>
      <c r="J21" s="123" t="n"/>
    </row>
    <row r="22" ht="18" customHeight="1" s="101">
      <c r="A22" s="8" t="n"/>
      <c r="B22" s="11" t="n"/>
      <c r="C22" s="35" t="n"/>
      <c r="D22" s="121" t="n"/>
      <c r="E22" s="121" t="n"/>
      <c r="F22" s="121" t="n"/>
      <c r="G22" s="121" t="n"/>
      <c r="H22" s="13" t="n"/>
      <c r="I22" s="122" t="n"/>
      <c r="J22" s="123" t="n"/>
    </row>
    <row r="23" ht="18" customHeight="1" s="101">
      <c r="A23" s="8" t="n"/>
      <c r="B23" s="10" t="n"/>
      <c r="C23" s="8" t="n"/>
      <c r="D23" s="121" t="n"/>
      <c r="E23" s="121" t="n"/>
      <c r="F23" s="121" t="n"/>
      <c r="G23" s="121" t="n"/>
      <c r="H23" s="13" t="n"/>
      <c r="I23" s="122" t="n"/>
      <c r="J23" s="123" t="n"/>
    </row>
    <row r="24" ht="18" customHeight="1" s="101">
      <c r="A24" s="8" t="n"/>
      <c r="B24" s="10" t="n"/>
      <c r="C24" s="8" t="n"/>
      <c r="D24" s="121" t="n"/>
      <c r="E24" s="121" t="n"/>
      <c r="F24" s="121" t="n"/>
      <c r="G24" s="121" t="n"/>
      <c r="H24" s="13" t="n"/>
      <c r="I24" s="122" t="n"/>
      <c r="J24" s="123" t="n"/>
    </row>
    <row r="25" ht="18" customHeight="1" s="101">
      <c r="A25" s="8" t="n"/>
      <c r="B25" s="10" t="n"/>
      <c r="C25" s="8" t="n"/>
      <c r="D25" s="121" t="n"/>
      <c r="E25" s="121" t="n"/>
      <c r="F25" s="121" t="n"/>
      <c r="G25" s="121" t="n"/>
      <c r="H25" s="13" t="n"/>
      <c r="I25" s="122" t="n"/>
      <c r="J25" s="123" t="n"/>
    </row>
    <row r="26" ht="18" customHeight="1" s="101">
      <c r="A26" s="94" t="inlineStr">
        <is>
          <t>TOTAL:</t>
        </is>
      </c>
      <c r="B26" s="124" t="n"/>
      <c r="C26" s="17" t="n"/>
      <c r="D26" s="18" t="n"/>
      <c r="E26" s="18" t="n"/>
      <c r="F26" s="18" t="n"/>
      <c r="G26" s="18" t="n"/>
      <c r="H26" s="19" t="n"/>
      <c r="I26" s="125" t="n"/>
      <c r="J26" s="126">
        <f>SUM(J11:J25)</f>
        <v/>
      </c>
    </row>
    <row r="27" ht="18" customHeight="1" s="101">
      <c r="A27" s="127" t="inlineStr">
        <is>
          <t>DISCOUNT:</t>
        </is>
      </c>
      <c r="B27" s="103" t="n"/>
      <c r="C27" s="103" t="n"/>
      <c r="D27" s="103" t="n"/>
      <c r="E27" s="103" t="n"/>
      <c r="F27" s="103" t="n"/>
      <c r="G27" s="103" t="n"/>
      <c r="H27" s="103" t="n"/>
      <c r="I27" s="104" t="n"/>
      <c r="J27" s="128" t="n"/>
    </row>
    <row r="28" ht="18" customHeight="1" s="101">
      <c r="A28" s="129" t="inlineStr">
        <is>
          <t>SGST @ 1.5%:</t>
        </is>
      </c>
      <c r="I28" s="107" t="n"/>
      <c r="J28" s="128">
        <f>J26*0.015</f>
        <v/>
      </c>
    </row>
    <row r="29" ht="18" customHeight="1" s="101">
      <c r="A29" s="129" t="inlineStr">
        <is>
          <t>CGST @ 1.5%:</t>
        </is>
      </c>
      <c r="I29" s="107" t="n"/>
      <c r="J29" s="128">
        <f>J26*0.015</f>
        <v/>
      </c>
    </row>
    <row r="30" ht="18" customHeight="1" s="101">
      <c r="A30" s="129" t="inlineStr">
        <is>
          <t>IGST @ 3%:</t>
        </is>
      </c>
      <c r="I30" s="107" t="n"/>
      <c r="J30" s="128">
        <f>J26*0.03</f>
        <v/>
      </c>
    </row>
    <row r="31" ht="18" customHeight="1" s="101" thickBot="1">
      <c r="A31" s="130" t="inlineStr">
        <is>
          <t>TOTAL AMOUNT:</t>
        </is>
      </c>
      <c r="B31" s="111" t="n"/>
      <c r="C31" s="111" t="n"/>
      <c r="D31" s="111" t="n"/>
      <c r="E31" s="111" t="n"/>
      <c r="F31" s="111" t="n"/>
      <c r="G31" s="111" t="n"/>
      <c r="H31" s="111" t="n"/>
      <c r="I31" s="112" t="n"/>
      <c r="J31" s="131">
        <f>J26+J28+J29+J30-J27</f>
        <v/>
      </c>
    </row>
    <row r="32" ht="22" customHeight="1" s="101" thickTop="1">
      <c r="A32" s="54" t="inlineStr">
        <is>
          <t>Rs in Words:</t>
        </is>
      </c>
      <c r="B32" s="124" t="n"/>
      <c r="C32" s="57" t="n"/>
      <c r="D32" s="111" t="n"/>
      <c r="E32" s="111" t="n"/>
      <c r="F32" s="111" t="n"/>
      <c r="G32" s="111" t="n"/>
      <c r="H32" s="111" t="n"/>
      <c r="I32" s="111" t="n"/>
      <c r="J32" s="112" t="n"/>
    </row>
    <row r="33" ht="18" customHeight="1" s="101">
      <c r="A33" s="25" t="n"/>
      <c r="B33" s="26" t="n"/>
      <c r="C33" s="26" t="n"/>
      <c r="D33" s="26" t="n"/>
      <c r="E33" s="27" t="n"/>
      <c r="F33" s="132" t="inlineStr">
        <is>
          <t>Certified that the particulars given above are true correct</t>
        </is>
      </c>
      <c r="G33" s="103" t="n"/>
      <c r="H33" s="103" t="n"/>
      <c r="I33" s="103" t="n"/>
      <c r="J33" s="104" t="n"/>
    </row>
    <row r="34" ht="18" customHeight="1" s="101">
      <c r="A34" s="28" t="n"/>
      <c r="B34" s="87" t="n"/>
      <c r="C34" s="87" t="n"/>
      <c r="D34" s="87" t="n"/>
      <c r="E34" s="88" t="n"/>
      <c r="F34" s="133" t="inlineStr">
        <is>
          <t>For VIJAYA GRANDHI JEWELLERS</t>
        </is>
      </c>
      <c r="J34" s="107" t="n"/>
    </row>
    <row r="35" ht="18" customHeight="1" s="101">
      <c r="A35" s="28" t="n"/>
      <c r="B35" s="68" t="inlineStr">
        <is>
          <t>Cash:</t>
        </is>
      </c>
      <c r="C35" s="88" t="n"/>
      <c r="E35" s="107" t="n"/>
      <c r="F35" s="133" t="n"/>
      <c r="J35" s="107" t="n"/>
    </row>
    <row r="36" ht="18" customHeight="1" s="101">
      <c r="A36" s="28" t="n"/>
      <c r="B36" s="68" t="inlineStr">
        <is>
          <t>Bank:</t>
        </is>
      </c>
      <c r="C36" s="88" t="n"/>
      <c r="E36" s="107" t="n"/>
      <c r="F36" s="134" t="n"/>
      <c r="J36" s="107" t="n"/>
    </row>
    <row r="37" ht="18" customHeight="1" s="101">
      <c r="A37" s="28" t="n"/>
      <c r="B37" s="87" t="n"/>
      <c r="C37" s="87" t="n"/>
      <c r="D37" s="87" t="n"/>
      <c r="E37" s="88" t="n"/>
      <c r="F37" s="134" t="n"/>
      <c r="J37" s="107" t="n"/>
    </row>
    <row r="38" ht="21.5" customHeight="1" s="101">
      <c r="A38" s="135" t="n"/>
      <c r="B38" s="111" t="n"/>
      <c r="C38" s="111" t="n"/>
      <c r="D38" s="111" t="n"/>
      <c r="E38" s="112" t="n"/>
      <c r="F38" s="136" t="inlineStr">
        <is>
          <t>Authorised Signatory</t>
        </is>
      </c>
      <c r="G38" s="111" t="n"/>
      <c r="H38" s="111" t="n"/>
      <c r="I38" s="111" t="n"/>
      <c r="J38" s="112" t="n"/>
    </row>
    <row r="41" ht="18" customHeight="1" s="101">
      <c r="A41" s="43" t="n"/>
      <c r="B41" s="43" t="n"/>
      <c r="C41" s="43" t="n"/>
      <c r="D41" s="43" t="n"/>
      <c r="E41" s="43" t="n"/>
      <c r="F41" s="43" t="n"/>
      <c r="G41" s="43" t="n"/>
      <c r="H41" s="43" t="n"/>
      <c r="I41" s="43" t="n"/>
      <c r="J41" s="43" t="n"/>
    </row>
    <row r="42" ht="18" customHeight="1" s="101">
      <c r="A42" s="43" t="n"/>
      <c r="C42" s="43" t="n"/>
      <c r="D42" s="43" t="n"/>
      <c r="E42" s="43" t="n"/>
      <c r="F42" s="43" t="n"/>
      <c r="G42" s="43" t="n"/>
      <c r="H42" s="43" t="n"/>
      <c r="I42" s="43" t="n"/>
      <c r="J42" s="43" t="n"/>
    </row>
    <row r="43" ht="18" customHeight="1" s="101">
      <c r="A43" s="43" t="n"/>
      <c r="C43" s="43" t="n"/>
      <c r="D43" s="43" t="n"/>
      <c r="E43" s="43" t="n"/>
      <c r="F43" s="43" t="n"/>
      <c r="G43" s="43" t="n"/>
      <c r="H43" s="43" t="n"/>
      <c r="I43" s="43" t="n"/>
      <c r="J43" s="43" t="n"/>
    </row>
    <row r="44" ht="18" customHeight="1" s="101">
      <c r="A44" s="43" t="n"/>
      <c r="C44" s="44" t="inlineStr">
        <is>
          <t>TERMS AND CONDITIONS</t>
        </is>
      </c>
      <c r="I44" s="43" t="n"/>
      <c r="J44" s="43" t="n"/>
      <c r="K44" s="0" t="n"/>
      <c r="L44" s="0" t="n"/>
    </row>
    <row r="45" ht="18" customHeight="1" s="101">
      <c r="A45" s="43" t="n"/>
      <c r="C45" s="43" t="n"/>
      <c r="D45" s="43" t="n"/>
      <c r="E45" s="43" t="n"/>
      <c r="F45" s="43" t="n"/>
      <c r="G45" s="43" t="n"/>
      <c r="H45" s="43" t="n"/>
      <c r="I45" s="43" t="n"/>
      <c r="J45" s="43" t="n"/>
    </row>
    <row r="46" ht="18" customHeight="1" s="101">
      <c r="A46" s="43" t="n"/>
      <c r="B46" s="38" t="inlineStr">
        <is>
          <t>• No cash refund on sales return or exchange. Jewellery in exchange should be in original condition only
• The original sales bill has to be submitted at the time of the above sales return/exchange
• Please handle the ornaments with necessary care to avoid damage
• Please check the purchased item and tally it with the invoice before taking delivery
• We are not responsible for blackish Gold, any loss to mishandling of ornaments which may cause breakage, Chipping of enamel and falling of stones
• Buyback of used ornaments subject to production of original bill and the rate will be the prevailing gold rate, Buyback in other cases will be only on net weight (after removing stones, enamel and dust) basis
• Jewellery stores reserve the right to modify these terms and conditions at any time without prior notice.
• All disputes are subject to Kakinada jurisdiction only
• 100% Quality Guarantee but not Breakage guarantee</t>
        </is>
      </c>
    </row>
    <row r="47" ht="18" customHeight="1" s="101">
      <c r="A47" s="43" t="n"/>
    </row>
    <row r="48" ht="18" customHeight="1" s="101">
      <c r="A48" s="43" t="n"/>
    </row>
    <row r="49" ht="18" customHeight="1" s="101">
      <c r="A49" s="43" t="n"/>
    </row>
    <row r="50" ht="15.5" customHeight="1" s="101">
      <c r="A50" s="43" t="n"/>
    </row>
    <row r="51" ht="18" customHeight="1" s="101">
      <c r="A51" s="43" t="n"/>
      <c r="K51" s="0" t="n"/>
    </row>
    <row r="52" ht="18" customHeight="1" s="101">
      <c r="A52" s="43" t="n"/>
    </row>
    <row r="53" ht="18" customHeight="1" s="101">
      <c r="A53" s="43" t="n"/>
    </row>
    <row r="54" ht="18" customHeight="1" s="101">
      <c r="A54" s="43" t="n"/>
    </row>
    <row r="55" ht="18" customHeight="1" s="101">
      <c r="A55" s="43" t="n"/>
    </row>
    <row r="56" ht="18" customHeight="1" s="101">
      <c r="A56" s="43" t="n"/>
    </row>
    <row r="57" ht="18" customHeight="1" s="101">
      <c r="A57" s="43" t="n"/>
    </row>
    <row r="58" ht="18" customHeight="1" s="101">
      <c r="A58" s="43" t="n"/>
    </row>
    <row r="59" ht="18" customHeight="1" s="101">
      <c r="A59" s="43" t="n"/>
    </row>
    <row r="60" ht="18" customHeight="1" s="101">
      <c r="A60" s="43" t="n"/>
    </row>
    <row r="61" ht="18" customHeight="1" s="101">
      <c r="A61" s="43" t="n"/>
    </row>
    <row r="62" ht="18" customHeight="1" s="101">
      <c r="A62" s="43" t="n"/>
    </row>
    <row r="63" ht="18" customHeight="1" s="101">
      <c r="A63" s="43" t="n"/>
    </row>
    <row r="64" ht="18" customHeight="1" s="101">
      <c r="A64" s="43" t="n"/>
    </row>
    <row r="65" ht="18" customHeight="1" s="101">
      <c r="A65" s="43" t="n"/>
    </row>
    <row r="66" ht="18" customHeight="1" s="101">
      <c r="A66" s="43" t="n"/>
    </row>
    <row r="67" ht="18" customHeight="1" s="101">
      <c r="A67" s="43" t="n"/>
    </row>
    <row r="68" ht="18" customHeight="1" s="101">
      <c r="A68" s="43" t="n"/>
      <c r="B68" s="43" t="n"/>
      <c r="C68" s="43" t="n"/>
      <c r="D68" s="43" t="n"/>
      <c r="E68" s="43" t="n"/>
      <c r="F68" s="43" t="n"/>
      <c r="G68" s="43" t="n"/>
      <c r="H68" s="43" t="n"/>
      <c r="I68" s="43" t="n"/>
      <c r="J68" s="43" t="n"/>
    </row>
    <row r="69" ht="18" customHeight="1" s="101">
      <c r="A69" s="43" t="n"/>
      <c r="B69" s="43" t="n"/>
      <c r="C69" s="43" t="n"/>
      <c r="D69" s="43" t="n"/>
      <c r="E69" s="43" t="n"/>
      <c r="F69" s="43" t="n"/>
      <c r="G69" s="43" t="n"/>
      <c r="H69" s="43" t="n"/>
      <c r="I69" s="43" t="n"/>
      <c r="J69" s="43" t="n"/>
    </row>
    <row r="70" ht="18" customHeight="1" s="101">
      <c r="A70" s="43" t="n"/>
      <c r="B70" s="43" t="n"/>
      <c r="C70" s="43" t="n"/>
      <c r="D70" s="43" t="n"/>
      <c r="E70" s="43" t="n"/>
      <c r="F70" s="43" t="n"/>
      <c r="G70" s="43" t="n"/>
      <c r="H70" s="43" t="n"/>
      <c r="I70" s="43" t="n"/>
      <c r="J70" s="43" t="n"/>
    </row>
    <row r="71" ht="18" customHeight="1" s="101">
      <c r="A71" s="43" t="n"/>
      <c r="B71" s="43" t="n"/>
      <c r="C71" s="43" t="n"/>
      <c r="D71" s="43" t="n"/>
      <c r="E71" s="43" t="n"/>
      <c r="F71" s="43" t="n"/>
      <c r="G71" s="43" t="n"/>
      <c r="H71" s="43" t="n"/>
      <c r="I71" s="43" t="n"/>
      <c r="J71" s="43" t="n"/>
    </row>
    <row r="72" ht="18" customHeight="1" s="101">
      <c r="A72" s="43" t="n"/>
      <c r="B72" s="43" t="n"/>
      <c r="C72" s="43" t="n"/>
      <c r="D72" s="43" t="n"/>
      <c r="E72" s="43" t="n"/>
      <c r="F72" s="43" t="n"/>
      <c r="G72" s="43" t="n"/>
      <c r="H72" s="43" t="n"/>
      <c r="I72" s="43" t="n"/>
      <c r="J72" s="43" t="n"/>
    </row>
    <row r="73" ht="18" customHeight="1" s="101">
      <c r="A73" s="43" t="n"/>
      <c r="B73" s="43" t="n"/>
      <c r="C73" s="43" t="n"/>
      <c r="D73" s="43" t="n"/>
      <c r="E73" s="43" t="n"/>
      <c r="F73" s="43" t="n"/>
      <c r="G73" s="43" t="n"/>
      <c r="H73" s="43" t="n"/>
      <c r="I73" s="43" t="n"/>
      <c r="J73" s="43" t="n"/>
    </row>
    <row r="74" ht="18" customHeight="1" s="101">
      <c r="A74" s="43" t="n"/>
      <c r="B74" s="43" t="n"/>
      <c r="C74" s="43" t="n"/>
      <c r="D74" s="43" t="n"/>
      <c r="E74" s="43" t="n"/>
      <c r="F74" s="43" t="n"/>
      <c r="G74" s="43" t="n"/>
      <c r="H74" s="43" t="n"/>
      <c r="I74" s="43" t="n"/>
      <c r="J74" s="43" t="n"/>
      <c r="M74" s="0" t="n"/>
    </row>
  </sheetData>
  <mergeCells count="31">
    <mergeCell ref="A9:H9"/>
    <mergeCell ref="I6:J6"/>
    <mergeCell ref="C44:H44"/>
    <mergeCell ref="F34:J34"/>
    <mergeCell ref="I2:J2"/>
    <mergeCell ref="A27:I27"/>
    <mergeCell ref="A6:H6"/>
    <mergeCell ref="C36:E36"/>
    <mergeCell ref="B46:J67"/>
    <mergeCell ref="A7:H7"/>
    <mergeCell ref="F36:J36"/>
    <mergeCell ref="A1:H5"/>
    <mergeCell ref="F33:J33"/>
    <mergeCell ref="F35:J35"/>
    <mergeCell ref="B41:B45"/>
    <mergeCell ref="I3:J3"/>
    <mergeCell ref="A29:I29"/>
    <mergeCell ref="A26:B26"/>
    <mergeCell ref="A28:I28"/>
    <mergeCell ref="F38:J38"/>
    <mergeCell ref="A32:B32"/>
    <mergeCell ref="I5:J5"/>
    <mergeCell ref="A31:I31"/>
    <mergeCell ref="A8:H8"/>
    <mergeCell ref="A30:I30"/>
    <mergeCell ref="I1:J1"/>
    <mergeCell ref="I4:J4"/>
    <mergeCell ref="F37:J37"/>
    <mergeCell ref="A38:E38"/>
    <mergeCell ref="C32:J32"/>
    <mergeCell ref="C35:E35"/>
  </mergeCells>
  <printOptions horizontalCentered="1"/>
  <pageMargins left="0.7480314960629921" right="0.7480314960629921" top="0.7480314960629921" bottom="0.7480314960629921" header="0.3149606299212598" footer="0.3149606299212598"/>
  <pageSetup orientation="portrait" paperSize="9" scale="94" fitToHeight="2"/>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Work2</dc:creator>
  <dc:title xmlns:dc="http://purl.org/dc/elements/1.1/">caf9ebfbc9c8c5924e2e10ae71d0e4e86afb975969c3fb6684baabea2b6daf2e.xlsx</dc:title>
  <dcterms:created xmlns:dcterms="http://purl.org/dc/terms/" xmlns:xsi="http://www.w3.org/2001/XMLSchema-instance" xsi:type="dcterms:W3CDTF">2025-12-04T15:52:13Z</dcterms:created>
  <dcterms:modified xmlns:dcterms="http://purl.org/dc/terms/" xmlns:xsi="http://www.w3.org/2001/XMLSchema-instance" xsi:type="dcterms:W3CDTF">2026-04-27T17:39:08Z</dcterms:modified>
  <cp:lastModifiedBy>Kotha Vitesh</cp:lastModifiedBy>
  <cp:lastPrinted>2026-04-27T16:36:53Z</cp:lastPrinted>
</cp:coreProperties>
</file>

<file path=docProps/custom.xml><?xml version="1.0" encoding="utf-8"?>
<Properties xmlns="http://schemas.openxmlformats.org/officeDocument/2006/custom-properties">
  <property name="Created" fmtid="{D5CDD505-2E9C-101B-9397-08002B2CF9AE}" pid="2">
    <vt:filetime xmlns:vt="http://schemas.openxmlformats.org/officeDocument/2006/docPropsVTypes">2025-12-04T00:00:00Z</vt:filetime>
  </property>
  <property name="Creator" fmtid="{D5CDD505-2E9C-101B-9397-08002B2CF9AE}" pid="3">
    <vt:lpwstr xmlns:vt="http://schemas.openxmlformats.org/officeDocument/2006/docPropsVTypes">EXCEL.EXE</vt:lpwstr>
  </property>
  <property name="LastSaved" fmtid="{D5CDD505-2E9C-101B-9397-08002B2CF9AE}" pid="4">
    <vt:filetime xmlns:vt="http://schemas.openxmlformats.org/officeDocument/2006/docPropsVTypes">2025-12-04T00:00:00Z</vt:filetime>
  </property>
  <property name="Producer" fmtid="{D5CDD505-2E9C-101B-9397-08002B2CF9AE}" pid="5">
    <vt:lpwstr xmlns:vt="http://schemas.openxmlformats.org/officeDocument/2006/docPropsVTypes">www.ilovepdf.com</vt:lpwstr>
  </property>
</Properties>
</file>